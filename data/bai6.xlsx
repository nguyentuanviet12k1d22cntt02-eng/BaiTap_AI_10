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_10_Basic\data\"/>
    </mc:Choice>
  </mc:AlternateContent>
  <xr:revisionPtr revIDLastSave="0" documentId="13_ncr:1_{8C22D068-1168-4B5E-8B01-27547E53CF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iao_Di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2" i="1"/>
  <c r="B12" i="1"/>
  <c r="J11" i="1"/>
  <c r="B11" i="1"/>
  <c r="J10" i="1"/>
  <c r="B10" i="1"/>
  <c r="J9" i="1"/>
  <c r="B9" i="1"/>
  <c r="J8" i="1"/>
  <c r="B8" i="1"/>
  <c r="J7" i="1"/>
  <c r="B7" i="1"/>
  <c r="J6" i="1"/>
  <c r="B6" i="1"/>
  <c r="J5" i="1"/>
  <c r="B5" i="1"/>
  <c r="J4" i="1"/>
  <c r="B4" i="1"/>
  <c r="J3" i="1"/>
  <c r="B3" i="1"/>
  <c r="J13" i="1" l="1"/>
</calcChain>
</file>

<file path=xl/sharedStrings.xml><?xml version="1.0" encoding="utf-8"?>
<sst xmlns="http://schemas.openxmlformats.org/spreadsheetml/2006/main" count="93" uniqueCount="68">
  <si>
    <t>QUẢN LÝ GIAO DỊCH THU/CHI HÀNG NGÀY - NĂM 2026</t>
  </si>
  <si>
    <t>Ngày GD</t>
  </si>
  <si>
    <t>Tháng/Năm</t>
  </si>
  <si>
    <t>Loại GD</t>
  </si>
  <si>
    <t>Nhóm Chi Tiêu</t>
  </si>
  <si>
    <t>Mô Tả</t>
  </si>
  <si>
    <t>Người Liên Quan</t>
  </si>
  <si>
    <t>Kênh Thanh Toán</t>
  </si>
  <si>
    <t>Số Tiền</t>
  </si>
  <si>
    <t>VAT (%)</t>
  </si>
  <si>
    <t>Tổng Sau Thuế</t>
  </si>
  <si>
    <t>Trạng Thái</t>
  </si>
  <si>
    <t>Ghi Chú</t>
  </si>
  <si>
    <t>01/01/2026</t>
  </si>
  <si>
    <t>Chi</t>
  </si>
  <si>
    <t>Ăn uống</t>
  </si>
  <si>
    <t>Ăn sáng bún bò Huế</t>
  </si>
  <si>
    <t>Nguyễn Văn An</t>
  </si>
  <si>
    <t>Tiền mặt</t>
  </si>
  <si>
    <t>Đã chi</t>
  </si>
  <si>
    <t>05/01/2026</t>
  </si>
  <si>
    <t>Thu</t>
  </si>
  <si>
    <t>Khác</t>
  </si>
  <si>
    <t>Lương tháng 01/2026</t>
  </si>
  <si>
    <t>Chuyển khoản</t>
  </si>
  <si>
    <t>Đã thu</t>
  </si>
  <si>
    <t>Công ty ABC</t>
  </si>
  <si>
    <t>07/01/2026</t>
  </si>
  <si>
    <t>Đi lại</t>
  </si>
  <si>
    <t>Đổ xăng xe máy</t>
  </si>
  <si>
    <t>Trần Thị Bình</t>
  </si>
  <si>
    <t>Shell Hoàng Cầu</t>
  </si>
  <si>
    <t>10/01/2026</t>
  </si>
  <si>
    <t>Nhà ở</t>
  </si>
  <si>
    <t>Tiền điện tháng 01</t>
  </si>
  <si>
    <t>Lê Hoàng Cường</t>
  </si>
  <si>
    <t>Ví điện tử</t>
  </si>
  <si>
    <t>EVN - MoMo</t>
  </si>
  <si>
    <t>12/01/2026</t>
  </si>
  <si>
    <t>Mua sắm</t>
  </si>
  <si>
    <t>Mua quần áo siêu thị</t>
  </si>
  <si>
    <t>Phạm Thị Dung</t>
  </si>
  <si>
    <t>Thẻ ngân hàng</t>
  </si>
  <si>
    <t>Vinmart+</t>
  </si>
  <si>
    <t>15/01/2026</t>
  </si>
  <si>
    <t>Y tế</t>
  </si>
  <si>
    <t>Khám sức khỏe định kỳ</t>
  </si>
  <si>
    <t>Hoàng Văn Em</t>
  </si>
  <si>
    <t>Phòng khám MEDLATEC</t>
  </si>
  <si>
    <t>18/01/2026</t>
  </si>
  <si>
    <t>Học tập</t>
  </si>
  <si>
    <t>Khoá học online Python</t>
  </si>
  <si>
    <t>Vũ Thị Hoa</t>
  </si>
  <si>
    <t>Udemy - ZaloPay</t>
  </si>
  <si>
    <t>20/01/2026</t>
  </si>
  <si>
    <t>Giải trí</t>
  </si>
  <si>
    <t>Xem phim rạp CGV</t>
  </si>
  <si>
    <t>Đặng Minh Khôi</t>
  </si>
  <si>
    <t>CGV Vincom</t>
  </si>
  <si>
    <t>25/01/2026</t>
  </si>
  <si>
    <t>Hoàn tiền cashback thẻ</t>
  </si>
  <si>
    <t>Bùi Thị Lan</t>
  </si>
  <si>
    <t>Techcombank</t>
  </si>
  <si>
    <t>28/01/2026</t>
  </si>
  <si>
    <t>Cà phê &amp; đồ ăn nhẹ</t>
  </si>
  <si>
    <t>Ngô Văn Phú</t>
  </si>
  <si>
    <t>The Coffee House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</si>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</sst>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\ &quot;₫&quot;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14" customWidth="1"/>
    <col min="2" max="2" width="13" customWidth="1"/>
    <col min="3" max="3" width="12" customWidth="1"/>
    <col min="4" max="4" width="16" customWidth="1"/>
    <col min="5" max="5" width="28" customWidth="1"/>
    <col min="6" max="7" width="18" customWidth="1"/>
    <col min="8" max="8" width="16" customWidth="1"/>
    <col min="9" max="9" width="10" customWidth="1"/>
    <col min="10" max="10" width="16" customWidth="1"/>
    <col min="11" max="11" width="14" customWidth="1"/>
    <col min="12" max="12" width="22" customWidth="1"/>
  </cols>
  <sheetData>
    <row r="1" spans="1:12" ht="32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35">
      <c r="A3" s="2" t="s">
        <v>13</v>
      </c>
      <c r="B3" s="3" t="str">
        <f t="shared" ref="B3:B12" si="0">TEXT(A3,"MM/YYYY")</f>
        <v>01/2026</v>
      </c>
      <c r="C3" s="3" t="s">
        <v>14</v>
      </c>
      <c r="D3" s="4" t="s">
        <v>15</v>
      </c>
      <c r="E3" s="4" t="s">
        <v>16</v>
      </c>
      <c r="F3" s="4" t="s">
        <v>17</v>
      </c>
      <c r="G3" s="3" t="s">
        <v>18</v>
      </c>
      <c r="H3" s="5">
        <v>45000</v>
      </c>
      <c r="I3" s="6">
        <v>0</v>
      </c>
      <c r="J3" s="7">
        <f t="shared" ref="J3:J12" si="1">IF(C3="Chi",H3*(1+I3),H3)</f>
        <v>45000</v>
      </c>
      <c r="K3" s="3" t="s">
        <v>19</v>
      </c>
      <c r="L3" s="4"/>
    </row>
    <row r="4" spans="1:12" x14ac:dyDescent="0.35">
      <c r="A4" s="8" t="s">
        <v>20</v>
      </c>
      <c r="B4" s="9" t="str">
        <f t="shared" si="0"/>
        <v>05/2026</v>
      </c>
      <c r="C4" s="9" t="s">
        <v>21</v>
      </c>
      <c r="D4" s="10" t="s">
        <v>22</v>
      </c>
      <c r="E4" s="10" t="s">
        <v>23</v>
      </c>
      <c r="F4" s="10" t="s">
        <v>17</v>
      </c>
      <c r="G4" s="9" t="s">
        <v>24</v>
      </c>
      <c r="H4" s="5">
        <v>15000000</v>
      </c>
      <c r="I4" s="6">
        <v>0</v>
      </c>
      <c r="J4" s="11">
        <f t="shared" si="1"/>
        <v>15000000</v>
      </c>
      <c r="K4" s="9" t="s">
        <v>25</v>
      </c>
      <c r="L4" s="10" t="s">
        <v>26</v>
      </c>
    </row>
    <row r="5" spans="1:12" x14ac:dyDescent="0.35">
      <c r="A5" s="2" t="s">
        <v>27</v>
      </c>
      <c r="B5" s="3" t="str">
        <f t="shared" si="0"/>
        <v>07/2026</v>
      </c>
      <c r="C5" s="3" t="s">
        <v>14</v>
      </c>
      <c r="D5" s="4" t="s">
        <v>28</v>
      </c>
      <c r="E5" s="4" t="s">
        <v>29</v>
      </c>
      <c r="F5" s="4" t="s">
        <v>30</v>
      </c>
      <c r="G5" s="3" t="s">
        <v>18</v>
      </c>
      <c r="H5" s="5">
        <v>120000</v>
      </c>
      <c r="I5" s="6">
        <v>0.08</v>
      </c>
      <c r="J5" s="7">
        <f t="shared" si="1"/>
        <v>129600.00000000001</v>
      </c>
      <c r="K5" s="3" t="s">
        <v>19</v>
      </c>
      <c r="L5" s="4" t="s">
        <v>31</v>
      </c>
    </row>
    <row r="6" spans="1:12" x14ac:dyDescent="0.35">
      <c r="A6" s="8" t="s">
        <v>32</v>
      </c>
      <c r="B6" s="9" t="str">
        <f t="shared" si="0"/>
        <v>10/2026</v>
      </c>
      <c r="C6" s="9" t="s">
        <v>14</v>
      </c>
      <c r="D6" s="10" t="s">
        <v>33</v>
      </c>
      <c r="E6" s="10" t="s">
        <v>34</v>
      </c>
      <c r="F6" s="10" t="s">
        <v>35</v>
      </c>
      <c r="G6" s="9" t="s">
        <v>36</v>
      </c>
      <c r="H6" s="5">
        <v>380000</v>
      </c>
      <c r="I6" s="6">
        <v>0.1</v>
      </c>
      <c r="J6" s="11">
        <f t="shared" si="1"/>
        <v>418000.00000000006</v>
      </c>
      <c r="K6" s="9" t="s">
        <v>19</v>
      </c>
      <c r="L6" s="10" t="s">
        <v>37</v>
      </c>
    </row>
    <row r="7" spans="1:12" x14ac:dyDescent="0.35">
      <c r="A7" s="2" t="s">
        <v>38</v>
      </c>
      <c r="B7" s="3" t="str">
        <f t="shared" si="0"/>
        <v>12/2026</v>
      </c>
      <c r="C7" s="3" t="s">
        <v>14</v>
      </c>
      <c r="D7" s="4" t="s">
        <v>39</v>
      </c>
      <c r="E7" s="4" t="s">
        <v>40</v>
      </c>
      <c r="F7" s="4" t="s">
        <v>41</v>
      </c>
      <c r="G7" s="3" t="s">
        <v>42</v>
      </c>
      <c r="H7" s="5">
        <v>850000</v>
      </c>
      <c r="I7" s="6">
        <v>0.08</v>
      </c>
      <c r="J7" s="7">
        <f t="shared" si="1"/>
        <v>918000.00000000012</v>
      </c>
      <c r="K7" s="3" t="s">
        <v>19</v>
      </c>
      <c r="L7" s="4" t="s">
        <v>43</v>
      </c>
    </row>
    <row r="8" spans="1:12" x14ac:dyDescent="0.35">
      <c r="A8" s="8" t="s">
        <v>44</v>
      </c>
      <c r="B8" s="9" t="str">
        <f t="shared" si="0"/>
        <v>15/01/2026</v>
      </c>
      <c r="C8" s="9" t="s">
        <v>14</v>
      </c>
      <c r="D8" s="10" t="s">
        <v>45</v>
      </c>
      <c r="E8" s="10" t="s">
        <v>46</v>
      </c>
      <c r="F8" s="10" t="s">
        <v>47</v>
      </c>
      <c r="G8" s="9" t="s">
        <v>42</v>
      </c>
      <c r="H8" s="5">
        <v>500000</v>
      </c>
      <c r="I8" s="6">
        <v>0</v>
      </c>
      <c r="J8" s="11">
        <f t="shared" si="1"/>
        <v>500000</v>
      </c>
      <c r="K8" s="9" t="s">
        <v>19</v>
      </c>
      <c r="L8" s="10" t="s">
        <v>48</v>
      </c>
    </row>
    <row r="9" spans="1:12" x14ac:dyDescent="0.35">
      <c r="A9" s="2" t="s">
        <v>49</v>
      </c>
      <c r="B9" s="3" t="str">
        <f t="shared" si="0"/>
        <v>18/01/2026</v>
      </c>
      <c r="C9" s="3" t="s">
        <v>14</v>
      </c>
      <c r="D9" s="4" t="s">
        <v>50</v>
      </c>
      <c r="E9" s="4" t="s">
        <v>51</v>
      </c>
      <c r="F9" s="4" t="s">
        <v>52</v>
      </c>
      <c r="G9" s="3" t="s">
        <v>36</v>
      </c>
      <c r="H9" s="5">
        <v>650000</v>
      </c>
      <c r="I9" s="6">
        <v>0</v>
      </c>
      <c r="J9" s="7">
        <f t="shared" si="1"/>
        <v>650000</v>
      </c>
      <c r="K9" s="3" t="s">
        <v>19</v>
      </c>
      <c r="L9" s="4" t="s">
        <v>53</v>
      </c>
    </row>
    <row r="10" spans="1:12" x14ac:dyDescent="0.35">
      <c r="A10" s="8" t="s">
        <v>54</v>
      </c>
      <c r="B10" s="9" t="str">
        <f t="shared" si="0"/>
        <v>20/01/2026</v>
      </c>
      <c r="C10" s="9" t="s">
        <v>14</v>
      </c>
      <c r="D10" s="10" t="s">
        <v>55</v>
      </c>
      <c r="E10" s="10" t="s">
        <v>56</v>
      </c>
      <c r="F10" s="10" t="s">
        <v>57</v>
      </c>
      <c r="G10" s="9" t="s">
        <v>42</v>
      </c>
      <c r="H10" s="5">
        <v>160000</v>
      </c>
      <c r="I10" s="6">
        <v>0.1</v>
      </c>
      <c r="J10" s="11">
        <f t="shared" si="1"/>
        <v>176000</v>
      </c>
      <c r="K10" s="9" t="s">
        <v>19</v>
      </c>
      <c r="L10" s="10" t="s">
        <v>58</v>
      </c>
    </row>
    <row r="11" spans="1:12" x14ac:dyDescent="0.35">
      <c r="A11" s="2" t="s">
        <v>59</v>
      </c>
      <c r="B11" s="3" t="str">
        <f t="shared" si="0"/>
        <v>25/01/2026</v>
      </c>
      <c r="C11" s="3" t="s">
        <v>21</v>
      </c>
      <c r="D11" s="4" t="s">
        <v>22</v>
      </c>
      <c r="E11" s="4" t="s">
        <v>60</v>
      </c>
      <c r="F11" s="4" t="s">
        <v>61</v>
      </c>
      <c r="G11" s="3" t="s">
        <v>42</v>
      </c>
      <c r="H11" s="5">
        <v>320000</v>
      </c>
      <c r="I11" s="6">
        <v>0</v>
      </c>
      <c r="J11" s="7">
        <f t="shared" si="1"/>
        <v>320000</v>
      </c>
      <c r="K11" s="3" t="s">
        <v>25</v>
      </c>
      <c r="L11" s="4" t="s">
        <v>62</v>
      </c>
    </row>
    <row r="12" spans="1:12" x14ac:dyDescent="0.35">
      <c r="A12" s="8" t="s">
        <v>63</v>
      </c>
      <c r="B12" s="9" t="str">
        <f t="shared" si="0"/>
        <v>28/01/2026</v>
      </c>
      <c r="C12" s="9" t="s">
        <v>14</v>
      </c>
      <c r="D12" s="10" t="s">
        <v>15</v>
      </c>
      <c r="E12" s="10" t="s">
        <v>64</v>
      </c>
      <c r="F12" s="10" t="s">
        <v>65</v>
      </c>
      <c r="G12" s="9" t="s">
        <v>18</v>
      </c>
      <c r="H12" s="5">
        <v>95000</v>
      </c>
      <c r="I12" s="6">
        <v>0</v>
      </c>
      <c r="J12" s="11">
        <f t="shared" si="1"/>
        <v>95000</v>
      </c>
      <c r="K12" s="9" t="s">
        <v>19</v>
      </c>
      <c r="L12" s="10" t="s">
        <v>66</v>
      </c>
    </row>
    <row r="13" spans="1:12" x14ac:dyDescent="0.35">
      <c r="A13" s="12"/>
      <c r="B13" s="12"/>
      <c r="C13" s="12"/>
      <c r="D13" s="12"/>
      <c r="E13" s="13" t="s">
        <v>67</v>
      </c>
      <c r="F13" s="12"/>
      <c r="G13" s="12"/>
      <c r="H13" s="14">
        <f>SUM(H3:H12)</f>
        <v>18120000</v>
      </c>
      <c r="I13" s="12"/>
      <c r="J13" s="14">
        <f>SUM(J3:J12)</f>
        <v>18251600</v>
      </c>
      <c r="K13" s="12"/>
      <c r="L13" s="12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Giao_Dich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5</cp:lastModifiedBy>
  <dcterms:created xsi:type="dcterms:W3CDTF">2026-06-22T04:13:29Z</dcterms:created>
  <dcterms:modified xsi:type="dcterms:W3CDTF">2026-08-20T11:05:36Z</dcterms:modified>
</cp:coreProperties>
</file>